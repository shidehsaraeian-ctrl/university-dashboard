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rojects\tips-agent\"/>
    </mc:Choice>
  </mc:AlternateContent>
  <xr:revisionPtr revIDLastSave="0" documentId="13_ncr:1_{120264E6-103F-4801-B2B2-12A4A6C685B4}" xr6:coauthVersionLast="47" xr6:coauthVersionMax="47" xr10:uidLastSave="{00000000-0000-0000-0000-000000000000}"/>
  <bookViews>
    <workbookView xWindow="-108" yWindow="-108" windowWidth="23256" windowHeight="13176" xr2:uid="{9710823A-D376-488E-92FB-C9B5AE6F6156}"/>
  </bookViews>
  <sheets>
    <sheet name="عملکرد مالی مرکز بندر ترکمن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2" i="1"/>
  <c r="D14" i="1"/>
  <c r="D12" i="1"/>
  <c r="B5" i="1"/>
  <c r="D5" i="1"/>
</calcChain>
</file>

<file path=xl/sharedStrings.xml><?xml version="1.0" encoding="utf-8"?>
<sst xmlns="http://schemas.openxmlformats.org/spreadsheetml/2006/main" count="24" uniqueCount="24">
  <si>
    <t>عنوان</t>
  </si>
  <si>
    <t>عملکرد 404-405</t>
  </si>
  <si>
    <t>پیش بینی 406-405</t>
  </si>
  <si>
    <t>وضعیت فعلی 406-405</t>
  </si>
  <si>
    <t>توضیحات</t>
  </si>
  <si>
    <t>درآمد شهریه ای</t>
  </si>
  <si>
    <t>درآمد غیرشهریه ای (برون سپاری)</t>
  </si>
  <si>
    <t>درآمد غیرشهریه ای (برگزاری کارگاه)</t>
  </si>
  <si>
    <t>مجموع درآمد سال مالی</t>
  </si>
  <si>
    <t>هزینه پرسنلی هیات علمی (حقوق و حق التدریس)</t>
  </si>
  <si>
    <t>هزینه پرسنلی رسمی و قراردادی</t>
  </si>
  <si>
    <t>هزینه پرسنلی شرکتی</t>
  </si>
  <si>
    <t>هزینه حق التدریس اساتید مدعو</t>
  </si>
  <si>
    <t>هزینه اجاره</t>
  </si>
  <si>
    <t>هزینه های جاری (سایر)</t>
  </si>
  <si>
    <t>تعداد 4 نفر</t>
  </si>
  <si>
    <t>تعداد 2 نفر</t>
  </si>
  <si>
    <t>سال جاری 3نفر + 1 نفر شش ماه+ پیش بینی 4 نفر</t>
  </si>
  <si>
    <t>سود و زیان</t>
  </si>
  <si>
    <t>مجموع هزینه های سال مالی</t>
  </si>
  <si>
    <t>مهر: 83044585000 - بهمن: 66920795000 - تابستان: 2920575000</t>
  </si>
  <si>
    <t>آیتم هزینه های آموزشی کد 12-5212</t>
  </si>
  <si>
    <t>27+6*35+5*45</t>
  </si>
  <si>
    <t>ثبت شده در کد بندر: 839950000 - سایر: 683950000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</si>
</sst>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-[$ريال-429]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B504-6DD5-4447-AC76-8686907CC3CC}">
  <dimension ref="A1:E14"/>
  <sheetViews>
    <sheetView tabSelected="1" workbookViewId="0">
      <selection activeCell="A12" sqref="A12"/>
    </sheetView>
  </sheetViews>
  <sheetFormatPr defaultRowHeight="14.4" x14ac:dyDescent="0.3"/>
  <cols>
    <col min="1" max="1" width="53.44140625" customWidth="1"/>
    <col min="2" max="2" width="31.109375" customWidth="1"/>
    <col min="3" max="3" width="24.109375" customWidth="1"/>
    <col min="4" max="4" width="19.5546875" customWidth="1"/>
    <col min="5" max="5" width="56.88671875" customWidth="1"/>
  </cols>
  <sheetData>
    <row r="1" spans="1:5" x14ac:dyDescent="0.3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3">
      <c r="A2" t="s">
        <v>20</v>
      </c>
      <c r="B2" s="1">
        <v>207924899000</v>
      </c>
      <c r="D2" s="1">
        <v>152885955000</v>
      </c>
      <c r="E2" t="s">
        <v>5</v>
      </c>
    </row>
    <row r="3" spans="1:5" x14ac:dyDescent="0.3">
      <c r="B3" s="1">
        <v>5000000000</v>
      </c>
      <c r="C3" s="1"/>
      <c r="E3" t="s">
        <v>6</v>
      </c>
    </row>
    <row r="4" spans="1:5" x14ac:dyDescent="0.3">
      <c r="B4" s="1">
        <v>500000000</v>
      </c>
      <c r="C4" s="1"/>
      <c r="E4" t="s">
        <v>7</v>
      </c>
    </row>
    <row r="5" spans="1:5" x14ac:dyDescent="0.3">
      <c r="B5" s="1">
        <f>SUM(B2:B4)</f>
        <v>213424899000</v>
      </c>
      <c r="C5" s="1"/>
      <c r="D5" s="1">
        <f>SUM(D2:D4)</f>
        <v>152885955000</v>
      </c>
      <c r="E5" s="2" t="s">
        <v>8</v>
      </c>
    </row>
    <row r="6" spans="1:5" x14ac:dyDescent="0.3">
      <c r="A6" t="s">
        <v>15</v>
      </c>
      <c r="B6" s="1">
        <v>46452554000</v>
      </c>
      <c r="D6" s="1">
        <v>33180396000</v>
      </c>
      <c r="E6" t="s">
        <v>9</v>
      </c>
    </row>
    <row r="7" spans="1:5" x14ac:dyDescent="0.3">
      <c r="A7" t="s">
        <v>17</v>
      </c>
      <c r="B7" s="1">
        <v>26017332000</v>
      </c>
      <c r="D7" s="1">
        <v>18340952000</v>
      </c>
      <c r="E7" t="s">
        <v>10</v>
      </c>
    </row>
    <row r="8" spans="1:5" x14ac:dyDescent="0.3">
      <c r="A8" t="s">
        <v>16</v>
      </c>
      <c r="B8" s="1">
        <v>10660812000</v>
      </c>
      <c r="D8" s="1">
        <v>6271066000</v>
      </c>
      <c r="E8" t="s">
        <v>11</v>
      </c>
    </row>
    <row r="9" spans="1:5" x14ac:dyDescent="0.3">
      <c r="A9" t="s">
        <v>21</v>
      </c>
      <c r="B9" s="1">
        <v>8400000000</v>
      </c>
      <c r="D9" s="1">
        <v>6000000000</v>
      </c>
      <c r="E9" t="s">
        <v>12</v>
      </c>
    </row>
    <row r="10" spans="1:5" x14ac:dyDescent="0.3">
      <c r="A10" t="s">
        <v>22</v>
      </c>
      <c r="B10" s="1">
        <v>8400000000</v>
      </c>
      <c r="D10" s="1">
        <v>4620000000</v>
      </c>
      <c r="E10" t="s">
        <v>13</v>
      </c>
    </row>
    <row r="11" spans="1:5" x14ac:dyDescent="0.3">
      <c r="A11" t="s">
        <v>23</v>
      </c>
      <c r="B11" s="1">
        <v>2652000000</v>
      </c>
      <c r="D11" s="1">
        <v>1560000000</v>
      </c>
      <c r="E11" s="3" t="s">
        <v>14</v>
      </c>
    </row>
    <row r="12" spans="1:5" x14ac:dyDescent="0.3">
      <c r="B12" s="1">
        <f>SUM(B6:B11)</f>
        <v>102582698000</v>
      </c>
      <c r="D12" s="1">
        <f>SUM(D6:D11)</f>
        <v>69972414000</v>
      </c>
      <c r="E12" s="2" t="s">
        <v>19</v>
      </c>
    </row>
    <row r="14" spans="1:5" x14ac:dyDescent="0.3">
      <c r="B14" s="1">
        <f>B5-B12</f>
        <v>110842201000</v>
      </c>
      <c r="D14" s="1">
        <f>D5-D12</f>
        <v>82913541000</v>
      </c>
      <c r="E1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عملکرد مالی مرکز بندر ترکمن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2026-10-18T08:29:28Z</dcterms:created>
  <dcterms:modified xsi:type="dcterms:W3CDTF">2026-10-23T16:12:03Z</dcterms:modified>
</cp:coreProperties>
</file>